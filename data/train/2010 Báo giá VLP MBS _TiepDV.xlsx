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CÔNG VIỆC TIÊPDV\Dữ liệu P KH TCNH\MBS\LAKEHOUSE\"/>
    </mc:Choice>
  </mc:AlternateContent>
  <xr:revisionPtr revIDLastSave="0" documentId="13_ncr:1_{C97531C1-A393-4D56-A338-A8705CB734AC}" xr6:coauthVersionLast="47" xr6:coauthVersionMax="47" xr10:uidLastSave="{00000000-0000-0000-0000-000000000000}"/>
  <bookViews>
    <workbookView xWindow="-110" yWindow="-110" windowWidth="19420" windowHeight="11500" xr2:uid="{00000000-000D-0000-FFFF-FFFF00000000}"/>
  </bookViews>
  <sheets>
    <sheet name="Báo giá VLP MBS" sheetId="8" r:id="rId1"/>
    <sheet name="báo giá cho thuê 24 tháng" sheetId="5"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8" l="1"/>
  <c r="G15" i="8"/>
  <c r="G16" i="8"/>
  <c r="G17" i="8" l="1"/>
  <c r="H18" i="5"/>
  <c r="I18" i="5" s="1"/>
  <c r="J18" i="5" s="1"/>
  <c r="H15" i="5"/>
  <c r="I15" i="5" s="1"/>
  <c r="J15" i="5" l="1"/>
  <c r="J20" i="5" s="1"/>
</calcChain>
</file>

<file path=xl/sharedStrings.xml><?xml version="1.0" encoding="utf-8"?>
<sst xmlns="http://schemas.openxmlformats.org/spreadsheetml/2006/main" count="65" uniqueCount="52">
  <si>
    <t>Số lượng</t>
  </si>
  <si>
    <t>TẬP ĐOÀN CÔNG NGHIỆP - VIỄN THÔNG QUÂN ĐỘI</t>
  </si>
  <si>
    <t>TỔNG CÔNG TY GIẢI PHÁP DOANH NGHIỆP VIETTEL</t>
  </si>
  <si>
    <t>Địa chỉ: Tòa nhà Viettel, Số 1 Trần Hữu Dực, Mỹ Đình 2, Nam Từ Liêm, Hà Nội</t>
  </si>
  <si>
    <t>STT</t>
  </si>
  <si>
    <t>Nội dung</t>
  </si>
  <si>
    <t>Đơn vị tính</t>
  </si>
  <si>
    <t>Thành tiền
(VNĐ)</t>
  </si>
  <si>
    <t>Tổng Tiền
(VNĐ)</t>
  </si>
  <si>
    <t>Thuế VAT
(VNĐ)</t>
  </si>
  <si>
    <t>Đơn giá
(VNĐ)</t>
  </si>
  <si>
    <t>Tổng tiền</t>
  </si>
  <si>
    <t xml:space="preserve">A. BÁO GIÁ </t>
  </si>
  <si>
    <t>B. ĐIỀU KHOẢN THƯƠNG MẠI</t>
  </si>
  <si>
    <t>Nơi nhận:</t>
  </si>
  <si>
    <t>- Như trên;</t>
  </si>
  <si>
    <t xml:space="preserve">Đơn vị tính: Việt Nam đồng. </t>
  </si>
  <si>
    <t>Thông số</t>
  </si>
  <si>
    <t>II. TỔNG TIỀN</t>
  </si>
  <si>
    <t>Kính gửi: Tổng công ty Truyền tải điện Quốc Gia.</t>
  </si>
  <si>
    <t>Tổng Công ty Giải pháp Doanh nghiệp Viettel xin gửi tới Quý Tổng Công ty Truyền tải điện Quốc Gia bảng báo giá dịch vụ cho thuê thiết bị Storage HDD cụ thể như sau:</t>
  </si>
  <si>
    <t>- Lưu: VT, KHDN. Anh 01.</t>
  </si>
  <si>
    <t>I. GÓI DỊCH VỤ CHO THUÊ STORAGE HDD</t>
  </si>
  <si>
    <t>BẢNG BÁO GIÁ DỊCH VỤ CHO THUÊ THIẾT BỊ STORAGE HDD</t>
  </si>
  <si>
    <t>Gói/Tháng</t>
  </si>
  <si>
    <r>
      <rPr>
        <b/>
        <sz val="11"/>
        <color theme="1"/>
        <rFont val="Times New Roman"/>
        <family val="1"/>
      </rPr>
      <t xml:space="preserve">1. Thời hạn thanh toán: </t>
    </r>
    <r>
      <rPr>
        <sz val="11"/>
        <color theme="1"/>
        <rFont val="Times New Roman"/>
        <family val="1"/>
      </rPr>
      <t xml:space="preserve">
    - Theo thỏa thuận giữa 2 bên
</t>
    </r>
    <r>
      <rPr>
        <b/>
        <sz val="11"/>
        <color theme="1"/>
        <rFont val="Times New Roman"/>
        <family val="1"/>
      </rPr>
      <t xml:space="preserve">2. Tiêu chuẩn hỗ trợ, bảo hành: </t>
    </r>
    <r>
      <rPr>
        <sz val="11"/>
        <color theme="1"/>
        <rFont val="Times New Roman"/>
        <family val="1"/>
      </rPr>
      <t xml:space="preserve">
   - Viettel cam kết ghi nhận mọi phản hồi từ khách hàng, mọi ý kiến của khách hàng đều được Viettel tiếp nhận và xử lý trong thời gian bảo hành.
</t>
    </r>
    <r>
      <rPr>
        <b/>
        <sz val="11"/>
        <color theme="1"/>
        <rFont val="Times New Roman"/>
        <family val="1"/>
      </rPr>
      <t>3. Phạm vi cung cấp của báo giá:</t>
    </r>
    <r>
      <rPr>
        <sz val="11"/>
        <color theme="1"/>
        <rFont val="Times New Roman"/>
        <family val="1"/>
      </rPr>
      <t xml:space="preserve">
    - Báo giá có thời hạn trong vòng 45 ngày kể từ ngày báo giá. 
</t>
    </r>
    <r>
      <rPr>
        <i/>
        <sz val="11"/>
        <color theme="1"/>
        <rFont val="Times New Roman"/>
        <family val="1"/>
      </rPr>
      <t>Rất mong được hợp tác với Quý Tổng công ty./.</t>
    </r>
  </si>
  <si>
    <t>TỔNG GIÁM ĐỐC</t>
  </si>
  <si>
    <t>Gói</t>
  </si>
  <si>
    <t>Dịch vụ cho thuê Storage HDD</t>
  </si>
  <si>
    <t xml:space="preserve">Dịch vụ triển khai </t>
  </si>
  <si>
    <t xml:space="preserve">Gói </t>
  </si>
  <si>
    <t>Triển khai lắp đặt thiết bị</t>
  </si>
  <si>
    <t>Hà Nội, ngày    tháng 2 năm 2022</t>
  </si>
  <si>
    <t xml:space="preserve">Synology RS2421+    
- CPU: AMD Ryzen V1500B/ Qual Core 2.2 GHz    
- Memory: DDR4 4GB ECC  (Max 32 GB)     
- Internal HDD/SSD: 3.5" or 2.5" SATA(II,III) X 12    
- Max Capacity: 216TB (12X 18TB HDD)    
- External HDD: USB 3.2 X 2, Expansion X 1    
 LAN : Gigabit X4  
1 x 10GbE SFP+ card E10G21-F2
2 x Module quang Cisco 10GBASE-SR SFP Module 
1 x railkit RKS-02
8 x Seagate 3.5" 14TB 7.2K RPM SATA 6Gb/s 256MB 
</t>
  </si>
  <si>
    <t>Bằng chữ: Ba trăm chín mươi mốt triệu một trăm chín mươi bảy nghìn tám trăm bốn mươi đồng ./.</t>
  </si>
  <si>
    <t>Hàng hoá dịch vụ</t>
  </si>
  <si>
    <t>B. Ghi chú</t>
  </si>
  <si>
    <t>- Các hạng mục trong báo giá không chịu thuế GTGT.
- Báo giá không bao gồm chi phí hạ tầng.
- Thời hạn của báo giá là 90 (ngày) kể từ ngày ký.</t>
  </si>
  <si>
    <t>Ghi chú</t>
  </si>
  <si>
    <t>Kính gửi: CTCP CHỨNG KHOÁN MBS</t>
  </si>
  <si>
    <t>TCT Giải pháp Doanh nghiệp Viettel xin gửi tới Quý Ngân hàng bảng báo giá giải pháp Viettel Lakehouse Platform cụ thể như sau:</t>
  </si>
  <si>
    <t>License VLP</t>
  </si>
  <si>
    <t>License</t>
  </si>
  <si>
    <t>Triển khai, chuyển đổi dữ liệu</t>
  </si>
  <si>
    <t>Hà Nội, ngày    tháng    năm 2025</t>
  </si>
  <si>
    <t>BẢNG BÁO GIÁ GIẢI PHÁP VIETTEL LAKEHOUSE PLATFORM</t>
  </si>
  <si>
    <t xml:space="preserve"> </t>
  </si>
  <si>
    <t>Gói Giải pháp VLP (Viettel Lakehouse platform)</t>
  </si>
  <si>
    <t>Đáp ứng các tính năng:
1.Data Ingestion &amp; Integration
2.Data Processing &amp; Transformation
3.Mô hình hóa Dữ liệu
4.Báo cáo &amp; Phân tích
5.Data Governance
6.Data Quality
7.Storage
8.Monitoring &amp; Observability
9. Data Access</t>
  </si>
  <si>
    <t>1. Xây dựng 6 báo cáo đáp ứng
2. Chuyển đổi dữ liệu sang hệ thống mới</t>
  </si>
  <si>
    <t>Bảo trì 3 năm</t>
  </si>
  <si>
    <t>Bằng chữ: Bảy tỷ, không trăm bốn mươi triệu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</si>
</sst>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_(* #.##0.00_);_(* \(#.##0.00\);_(* &quot;-&quot;??_);_(@_)"/>
  </numFmts>
  <fonts count="30" x14ac:knownFonts="1">
    <font>
      <sz val="11"/>
      <color theme="1"/>
      <name val="Calibri"/>
      <family val="2"/>
      <scheme val="minor"/>
    </font>
    <font>
      <sz val="12"/>
      <color theme="1"/>
      <name val="Calibri"/>
      <family val="2"/>
      <charset val="204"/>
      <scheme val="minor"/>
    </font>
    <font>
      <b/>
      <sz val="11"/>
      <color theme="1"/>
      <name val="Times New Roman"/>
      <family val="1"/>
    </font>
    <font>
      <i/>
      <sz val="11"/>
      <color theme="1"/>
      <name val="Times New Roman"/>
      <family val="1"/>
    </font>
    <font>
      <b/>
      <i/>
      <sz val="11"/>
      <color theme="1"/>
      <name val="Times New Roman"/>
      <family val="1"/>
    </font>
    <font>
      <sz val="11"/>
      <color theme="1"/>
      <name val="Times New Roman"/>
      <family val="1"/>
    </font>
    <font>
      <b/>
      <sz val="11"/>
      <name val="Times New Roman"/>
      <family val="1"/>
    </font>
    <font>
      <sz val="12"/>
      <color rgb="FF0E233D"/>
      <name val="Times New Roman"/>
      <family val="1"/>
    </font>
    <font>
      <sz val="12"/>
      <color theme="1"/>
      <name val="Times New Roman"/>
      <family val="1"/>
    </font>
    <font>
      <b/>
      <sz val="12"/>
      <color rgb="FF0E233D"/>
      <name val="Times New Roman"/>
      <family val="1"/>
    </font>
    <font>
      <i/>
      <sz val="12"/>
      <color rgb="FF0E233D"/>
      <name val="Times New Roman"/>
      <family val="1"/>
    </font>
    <font>
      <i/>
      <sz val="12"/>
      <name val="Times New Roman"/>
      <family val="1"/>
    </font>
    <font>
      <sz val="12"/>
      <name val="Times New Roman"/>
      <family val="1"/>
    </font>
    <font>
      <sz val="11"/>
      <name val="Times New Roman"/>
      <family val="1"/>
    </font>
    <font>
      <b/>
      <i/>
      <sz val="11"/>
      <name val="Times New Roman"/>
      <family val="1"/>
    </font>
    <font>
      <b/>
      <sz val="13"/>
      <color rgb="FF0E233D"/>
      <name val="Times New Roman"/>
      <family val="1"/>
    </font>
    <font>
      <sz val="14"/>
      <color rgb="FF0E233D"/>
      <name val="Times New Roman"/>
      <family val="1"/>
    </font>
    <font>
      <i/>
      <sz val="11"/>
      <color rgb="FF0E233D"/>
      <name val="Times New Roman"/>
      <family val="1"/>
    </font>
    <font>
      <sz val="10"/>
      <color theme="1"/>
      <name val="Times New Roman"/>
      <family val="1"/>
    </font>
    <font>
      <b/>
      <i/>
      <sz val="12"/>
      <color theme="1"/>
      <name val="Times New Roman"/>
      <family val="1"/>
    </font>
    <font>
      <sz val="11"/>
      <color theme="1"/>
      <name val="Calibri"/>
      <family val="2"/>
      <scheme val="minor"/>
    </font>
    <font>
      <sz val="14"/>
      <name val="Times New Roman"/>
      <family val="1"/>
    </font>
    <font>
      <sz val="10"/>
      <name val="Arial"/>
      <family val="2"/>
    </font>
    <font>
      <sz val="14"/>
      <color theme="1"/>
      <name val="Times New Roman"/>
      <family val="1"/>
    </font>
    <font>
      <b/>
      <sz val="14"/>
      <color rgb="FF0E233D"/>
      <name val="Times New Roman"/>
      <family val="1"/>
    </font>
    <font>
      <i/>
      <sz val="14"/>
      <color rgb="FF0E233D"/>
      <name val="Times New Roman"/>
      <family val="1"/>
    </font>
    <font>
      <b/>
      <sz val="14"/>
      <name val="Times New Roman"/>
      <family val="1"/>
    </font>
    <font>
      <b/>
      <i/>
      <sz val="14"/>
      <color theme="1"/>
      <name val="Times New Roman"/>
      <family val="1"/>
    </font>
    <font>
      <b/>
      <sz val="14"/>
      <color theme="1"/>
      <name val="Times New Roman"/>
      <family val="1"/>
    </font>
    <font>
      <b/>
      <i/>
      <sz val="14"/>
      <name val="Times New Roman"/>
      <family val="1"/>
    </font>
  </fonts>
  <fills count="4">
    <fill>
      <patternFill patternType="none"/>
    </fill>
    <fill>
      <patternFill patternType="gray125"/>
    </fill>
    <fill>
      <patternFill patternType="solid">
        <fgColor rgb="FFFDE0DF"/>
        <bgColor indexed="64"/>
      </patternFill>
    </fill>
    <fill>
      <patternFill patternType="solid">
        <fgColor theme="6"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1" fillId="0" borderId="0"/>
    <xf numFmtId="166" fontId="1" fillId="0" borderId="0" applyFont="0" applyFill="0" applyBorder="0" applyAlignment="0" applyProtection="0"/>
    <xf numFmtId="9" fontId="1" fillId="0" borderId="0" applyFont="0" applyFill="0" applyBorder="0" applyAlignment="0" applyProtection="0"/>
    <xf numFmtId="164" fontId="20" fillId="0" borderId="0" applyFont="0" applyFill="0" applyBorder="0" applyAlignment="0" applyProtection="0"/>
    <xf numFmtId="0" fontId="22" fillId="0" borderId="0"/>
  </cellStyleXfs>
  <cellXfs count="89">
    <xf numFmtId="0" fontId="0" fillId="0" borderId="0" xfId="0"/>
    <xf numFmtId="0" fontId="7" fillId="0" borderId="0" xfId="0" applyFont="1" applyAlignment="1">
      <alignment horizontal="center" vertical="center"/>
    </xf>
    <xf numFmtId="0" fontId="8" fillId="0" borderId="0" xfId="0" applyFont="1"/>
    <xf numFmtId="0" fontId="9" fillId="0" borderId="0" xfId="0" applyFont="1" applyAlignment="1">
      <alignment horizontal="center" vertical="center"/>
    </xf>
    <xf numFmtId="0" fontId="11" fillId="0" borderId="0" xfId="0" applyFont="1" applyAlignment="1">
      <alignment vertical="center"/>
    </xf>
    <xf numFmtId="0" fontId="12" fillId="0" borderId="0" xfId="0" applyFont="1"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center" vertical="center" wrapText="1"/>
    </xf>
    <xf numFmtId="3" fontId="6" fillId="0" borderId="1" xfId="0" applyNumberFormat="1" applyFont="1" applyBorder="1" applyAlignment="1">
      <alignment horizontal="center" vertical="center"/>
    </xf>
    <xf numFmtId="0" fontId="8" fillId="0" borderId="0" xfId="0" applyFont="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0" fontId="6"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3" fontId="13" fillId="0" borderId="1" xfId="0" applyNumberFormat="1" applyFont="1" applyBorder="1" applyAlignment="1">
      <alignment horizontal="center" vertical="center" wrapText="1"/>
    </xf>
    <xf numFmtId="0" fontId="13" fillId="0" borderId="1" xfId="0" quotePrefix="1" applyFont="1" applyBorder="1" applyAlignment="1">
      <alignment horizontal="left" vertical="center" wrapText="1"/>
    </xf>
    <xf numFmtId="3" fontId="13" fillId="0" borderId="1" xfId="0" quotePrefix="1" applyNumberFormat="1" applyFont="1" applyBorder="1" applyAlignment="1">
      <alignment horizontal="center" vertical="center" wrapText="1"/>
    </xf>
    <xf numFmtId="0" fontId="21" fillId="0" borderId="1" xfId="0" applyFont="1" applyBorder="1" applyAlignment="1">
      <alignment vertical="center" wrapText="1"/>
    </xf>
    <xf numFmtId="165" fontId="21" fillId="0" borderId="1" xfId="4" applyNumberFormat="1" applyFont="1" applyBorder="1" applyAlignment="1">
      <alignment horizontal="center" vertical="center"/>
    </xf>
    <xf numFmtId="3" fontId="21"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0" xfId="0" applyFont="1"/>
    <xf numFmtId="0" fontId="23" fillId="0" borderId="0" xfId="0" applyFont="1" applyAlignment="1">
      <alignment horizontal="center" vertical="center"/>
    </xf>
    <xf numFmtId="0" fontId="21"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3" xfId="0" applyFont="1" applyBorder="1" applyAlignment="1">
      <alignment horizontal="right" vertical="center" wrapText="1"/>
    </xf>
    <xf numFmtId="0" fontId="26" fillId="2"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1" xfId="5" applyFont="1" applyBorder="1" applyAlignment="1">
      <alignment horizontal="center" vertical="center"/>
    </xf>
    <xf numFmtId="165" fontId="23" fillId="0" borderId="0" xfId="4" applyNumberFormat="1" applyFont="1" applyBorder="1" applyAlignment="1">
      <alignment horizontal="center" vertical="center" wrapText="1"/>
    </xf>
    <xf numFmtId="0" fontId="28" fillId="0" borderId="0" xfId="0" applyFont="1" applyAlignment="1">
      <alignment vertical="center"/>
    </xf>
    <xf numFmtId="3" fontId="26" fillId="0" borderId="1" xfId="0" applyNumberFormat="1" applyFont="1" applyBorder="1" applyAlignment="1">
      <alignment horizontal="right" vertical="center"/>
    </xf>
    <xf numFmtId="0" fontId="23" fillId="0" borderId="1" xfId="0" applyFont="1" applyBorder="1"/>
    <xf numFmtId="165" fontId="23" fillId="0" borderId="0" xfId="4" applyNumberFormat="1" applyFont="1" applyAlignment="1">
      <alignment horizontal="center" vertical="center"/>
    </xf>
    <xf numFmtId="0" fontId="23" fillId="0" borderId="1" xfId="0" applyFont="1" applyBorder="1" applyAlignment="1">
      <alignment wrapText="1"/>
    </xf>
    <xf numFmtId="0" fontId="16" fillId="0" borderId="0" xfId="0" applyFont="1" applyAlignment="1">
      <alignment vertical="center"/>
    </xf>
    <xf numFmtId="0" fontId="23" fillId="0" borderId="0" xfId="0" quotePrefix="1" applyFont="1" applyAlignment="1">
      <alignment horizontal="left"/>
    </xf>
    <xf numFmtId="0" fontId="23" fillId="0" borderId="0" xfId="0" applyFont="1" applyAlignment="1">
      <alignment horizontal="left"/>
    </xf>
    <xf numFmtId="0" fontId="27" fillId="0" borderId="1" xfId="0" applyFont="1" applyBorder="1" applyAlignment="1">
      <alignment horizontal="left"/>
    </xf>
    <xf numFmtId="0" fontId="27" fillId="2" borderId="1" xfId="0" applyFont="1" applyFill="1" applyBorder="1" applyAlignment="1">
      <alignment horizontal="left" vertical="center"/>
    </xf>
    <xf numFmtId="0" fontId="23" fillId="0" borderId="1" xfId="0" quotePrefix="1" applyFont="1" applyBorder="1" applyAlignment="1">
      <alignment horizontal="left" vertical="center" wrapText="1"/>
    </xf>
    <xf numFmtId="0" fontId="23" fillId="0" borderId="1" xfId="0" applyFont="1" applyBorder="1" applyAlignment="1">
      <alignment horizontal="left" vertical="center" wrapText="1"/>
    </xf>
    <xf numFmtId="0" fontId="23" fillId="0" borderId="0" xfId="0" applyFont="1" applyAlignment="1">
      <alignment horizontal="center" vertical="center"/>
    </xf>
    <xf numFmtId="165" fontId="28" fillId="0" borderId="0" xfId="0" applyNumberFormat="1" applyFont="1" applyAlignment="1">
      <alignment horizontal="center" vertical="center"/>
    </xf>
    <xf numFmtId="0" fontId="29" fillId="0" borderId="0" xfId="0" applyFont="1" applyAlignment="1">
      <alignment horizontal="left" vertical="center" wrapText="1"/>
    </xf>
    <xf numFmtId="0" fontId="27" fillId="0" borderId="0" xfId="0" applyFont="1" applyAlignment="1">
      <alignment horizontal="left"/>
    </xf>
    <xf numFmtId="0" fontId="29" fillId="0" borderId="1" xfId="0" applyFont="1" applyBorder="1" applyAlignment="1">
      <alignment horizontal="center" vertical="center"/>
    </xf>
    <xf numFmtId="0" fontId="24" fillId="0" borderId="0" xfId="0" applyFont="1" applyAlignment="1">
      <alignment horizontal="left" vertical="center"/>
    </xf>
    <xf numFmtId="0" fontId="23" fillId="0" borderId="0" xfId="0" applyFont="1" applyAlignment="1">
      <alignment horizontal="left" vertical="center"/>
    </xf>
    <xf numFmtId="0" fontId="26" fillId="2" borderId="1" xfId="0" applyFont="1" applyFill="1" applyBorder="1" applyAlignment="1">
      <alignment horizontal="left" vertical="center" wrapText="1"/>
    </xf>
    <xf numFmtId="0" fontId="26" fillId="3" borderId="1" xfId="0" applyFont="1" applyFill="1" applyBorder="1" applyAlignment="1">
      <alignment vertical="center" wrapText="1"/>
    </xf>
    <xf numFmtId="0" fontId="23" fillId="0" borderId="0" xfId="0" applyFont="1" applyAlignment="1">
      <alignment horizontal="center"/>
    </xf>
    <xf numFmtId="0" fontId="25" fillId="0" borderId="0" xfId="0" applyFont="1" applyAlignment="1">
      <alignment horizontal="right" vertical="center"/>
    </xf>
    <xf numFmtId="0" fontId="24" fillId="0" borderId="0" xfId="0" applyFont="1" applyAlignment="1">
      <alignment horizontal="center" vertical="center"/>
    </xf>
    <xf numFmtId="0" fontId="25" fillId="0" borderId="0" xfId="0" applyFont="1" applyAlignment="1">
      <alignment horizontal="center" vertical="center" wrapText="1"/>
    </xf>
    <xf numFmtId="0" fontId="16" fillId="0" borderId="0" xfId="0" applyFont="1" applyAlignment="1">
      <alignment horizontal="center" vertical="center"/>
    </xf>
    <xf numFmtId="0" fontId="0" fillId="0" borderId="0" xfId="0" applyAlignment="1">
      <alignment horizontal="center"/>
    </xf>
    <xf numFmtId="0" fontId="8" fillId="0" borderId="0" xfId="0" applyFont="1" applyAlignment="1">
      <alignment horizontal="center"/>
    </xf>
    <xf numFmtId="0" fontId="10" fillId="0" borderId="0" xfId="0" applyFont="1" applyAlignment="1">
      <alignment horizontal="right" vertical="center"/>
    </xf>
    <xf numFmtId="0" fontId="15" fillId="0" borderId="0" xfId="0" applyFont="1" applyAlignment="1">
      <alignment horizontal="center" vertical="center"/>
    </xf>
    <xf numFmtId="0" fontId="13" fillId="0" borderId="2" xfId="0" applyFont="1" applyBorder="1" applyAlignment="1">
      <alignment horizontal="center" vertical="center"/>
    </xf>
    <xf numFmtId="0" fontId="13" fillId="0" borderId="7" xfId="0" applyFont="1" applyBorder="1" applyAlignment="1">
      <alignment horizontal="center" vertical="center"/>
    </xf>
    <xf numFmtId="0" fontId="6" fillId="2" borderId="1" xfId="0" applyFont="1" applyFill="1" applyBorder="1" applyAlignment="1">
      <alignment horizontal="left" vertical="center" wrapText="1"/>
    </xf>
    <xf numFmtId="0" fontId="6" fillId="3" borderId="1" xfId="0" applyFont="1" applyFill="1" applyBorder="1" applyAlignment="1">
      <alignment vertical="center" wrapText="1"/>
    </xf>
    <xf numFmtId="0" fontId="17" fillId="0" borderId="3" xfId="0" applyFont="1" applyBorder="1" applyAlignment="1">
      <alignment horizontal="right" vertical="center" wrapText="1"/>
    </xf>
    <xf numFmtId="0" fontId="10" fillId="0" borderId="0" xfId="0" applyFont="1" applyAlignment="1">
      <alignment horizontal="center" vertical="center" wrapText="1"/>
    </xf>
    <xf numFmtId="3" fontId="13" fillId="0" borderId="4" xfId="0" applyNumberFormat="1" applyFont="1" applyBorder="1" applyAlignment="1">
      <alignment horizontal="center" vertical="center" wrapText="1"/>
    </xf>
    <xf numFmtId="3" fontId="13" fillId="0" borderId="5" xfId="0" applyNumberFormat="1" applyFont="1" applyBorder="1" applyAlignment="1">
      <alignment horizontal="center" vertical="center" wrapText="1"/>
    </xf>
    <xf numFmtId="3" fontId="13" fillId="0" borderId="6" xfId="0" applyNumberFormat="1" applyFont="1" applyBorder="1" applyAlignment="1">
      <alignment horizontal="center" vertical="center" wrapText="1"/>
    </xf>
    <xf numFmtId="0" fontId="6" fillId="3" borderId="1" xfId="0" applyFont="1" applyFill="1" applyBorder="1" applyAlignment="1">
      <alignment horizontal="left"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4" xfId="0" quotePrefix="1" applyFont="1" applyBorder="1" applyAlignment="1">
      <alignment horizontal="left" vertical="center" wrapText="1"/>
    </xf>
    <xf numFmtId="0" fontId="13" fillId="0" borderId="5" xfId="0" quotePrefix="1" applyFont="1" applyBorder="1" applyAlignment="1">
      <alignment horizontal="left" vertical="center" wrapText="1"/>
    </xf>
    <xf numFmtId="0" fontId="13" fillId="0" borderId="6" xfId="0" quotePrefix="1" applyFont="1" applyBorder="1" applyAlignment="1">
      <alignment horizontal="left" vertical="center" wrapText="1"/>
    </xf>
    <xf numFmtId="0" fontId="18" fillId="0" borderId="0" xfId="0" quotePrefix="1" applyFont="1" applyAlignment="1">
      <alignment horizontal="left"/>
    </xf>
    <xf numFmtId="0" fontId="18" fillId="0" borderId="0" xfId="0" applyFont="1" applyAlignment="1">
      <alignment horizontal="left"/>
    </xf>
    <xf numFmtId="0" fontId="4" fillId="0" borderId="1" xfId="0" applyFont="1" applyBorder="1" applyAlignment="1">
      <alignment horizontal="right"/>
    </xf>
    <xf numFmtId="0" fontId="4" fillId="2" borderId="1" xfId="0" applyFont="1" applyFill="1" applyBorder="1" applyAlignment="1">
      <alignment horizontal="left" vertical="center"/>
    </xf>
    <xf numFmtId="0" fontId="5" fillId="0" borderId="1" xfId="0" applyFont="1" applyBorder="1" applyAlignment="1">
      <alignment horizontal="left" vertical="center" wrapText="1"/>
    </xf>
    <xf numFmtId="0" fontId="14" fillId="0" borderId="0" xfId="0" applyFont="1" applyAlignment="1">
      <alignment horizontal="left" vertical="center" wrapText="1"/>
    </xf>
    <xf numFmtId="0" fontId="19" fillId="0" borderId="0" xfId="0" applyFont="1" applyAlignment="1">
      <alignment horizontal="left"/>
    </xf>
  </cellXfs>
  <cellStyles count="6">
    <cellStyle name="Comma" xfId="4" builtinId="3"/>
    <cellStyle name="Comma 9" xfId="2" xr:uid="{00000000-0005-0000-0000-000001000000}"/>
    <cellStyle name="Normal" xfId="0" builtinId="0"/>
    <cellStyle name="Normal 10" xfId="1" xr:uid="{00000000-0005-0000-0000-000003000000}"/>
    <cellStyle name="Normal 2" xfId="5" xr:uid="{00000000-0005-0000-0000-000004000000}"/>
    <cellStyle name="Percent 4" xfId="3" xr:uid="{00000000-0005-0000-0000-000005000000}"/>
  </cellStyles>
  <dxfs count="0"/>
  <tableStyles count="0" defaultTableStyle="TableStyleMedium2" defaultPivotStyle="PivotStyleLight16"/>
  <colors>
    <mruColors>
      <color rgb="FFFDE0DF"/>
      <color rgb="FFF23A36"/>
      <color rgb="FFF03C38"/>
      <color rgb="FFE64E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1314450</xdr:colOff>
      <xdr:row>8</xdr:row>
      <xdr:rowOff>142875</xdr:rowOff>
    </xdr:from>
    <xdr:to>
      <xdr:col>2</xdr:col>
      <xdr:colOff>3123381</xdr:colOff>
      <xdr:row>10</xdr:row>
      <xdr:rowOff>447097</xdr:rowOff>
    </xdr:to>
    <xdr:pic>
      <xdr:nvPicPr>
        <xdr:cNvPr id="2" name="Picture 1">
          <a:extLst>
            <a:ext uri="{FF2B5EF4-FFF2-40B4-BE49-F238E27FC236}">
              <a16:creationId xmlns:a16="http://schemas.microsoft.com/office/drawing/2014/main" id="{7BA96029-F61D-47FD-9392-7D9D9CC16B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0600" y="2593975"/>
          <a:ext cx="1882557" cy="723810"/>
        </a:xfrm>
        <a:prstGeom prst="rect">
          <a:avLst/>
        </a:prstGeom>
        <a:ln>
          <a:noFill/>
        </a:ln>
        <a:effectLst>
          <a:softEdge rad="112500"/>
        </a:effectLst>
      </xdr:spPr>
    </xdr:pic>
    <xdr:clientData/>
  </xdr:twoCellAnchor>
  <xdr:twoCellAnchor editAs="oneCell">
    <xdr:from>
      <xdr:col>0</xdr:col>
      <xdr:colOff>0</xdr:colOff>
      <xdr:row>0</xdr:row>
      <xdr:rowOff>12211</xdr:rowOff>
    </xdr:from>
    <xdr:to>
      <xdr:col>2</xdr:col>
      <xdr:colOff>1221154</xdr:colOff>
      <xdr:row>4</xdr:row>
      <xdr:rowOff>7772</xdr:rowOff>
    </xdr:to>
    <xdr:pic>
      <xdr:nvPicPr>
        <xdr:cNvPr id="3" name="Picture 2">
          <a:extLst>
            <a:ext uri="{FF2B5EF4-FFF2-40B4-BE49-F238E27FC236}">
              <a16:creationId xmlns:a16="http://schemas.microsoft.com/office/drawing/2014/main" id="{3C48B0BF-927D-430F-AB13-6ACF796161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211"/>
          <a:ext cx="2332404" cy="9969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1314450</xdr:colOff>
      <xdr:row>9</xdr:row>
      <xdr:rowOff>142875</xdr:rowOff>
    </xdr:from>
    <xdr:to>
      <xdr:col>5</xdr:col>
      <xdr:colOff>314107</xdr:colOff>
      <xdr:row>11</xdr:row>
      <xdr:rowOff>276135</xdr:rowOff>
    </xdr:to>
    <xdr:pic>
      <xdr:nvPicPr>
        <xdr:cNvPr id="2" name="Picture 1">
          <a:extLst>
            <a:ext uri="{FF2B5EF4-FFF2-40B4-BE49-F238E27FC236}">
              <a16:creationId xmlns:a16="http://schemas.microsoft.com/office/drawing/2014/main" id="{B8240398-1E6D-44EA-91EF-E557C41B90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0600" y="2593975"/>
          <a:ext cx="1882557" cy="723810"/>
        </a:xfrm>
        <a:prstGeom prst="rect">
          <a:avLst/>
        </a:prstGeom>
        <a:ln>
          <a:noFill/>
        </a:ln>
        <a:effectLst>
          <a:softEdge rad="112500"/>
        </a:effectLst>
      </xdr:spPr>
    </xdr:pic>
    <xdr:clientData/>
  </xdr:twoCellAnchor>
  <xdr:twoCellAnchor editAs="oneCell">
    <xdr:from>
      <xdr:col>2</xdr:col>
      <xdr:colOff>0</xdr:colOff>
      <xdr:row>0</xdr:row>
      <xdr:rowOff>0</xdr:rowOff>
    </xdr:from>
    <xdr:to>
      <xdr:col>4</xdr:col>
      <xdr:colOff>482600</xdr:colOff>
      <xdr:row>4</xdr:row>
      <xdr:rowOff>167216</xdr:rowOff>
    </xdr:to>
    <xdr:pic>
      <xdr:nvPicPr>
        <xdr:cNvPr id="3" name="Picture 2">
          <a:extLst>
            <a:ext uri="{FF2B5EF4-FFF2-40B4-BE49-F238E27FC236}">
              <a16:creationId xmlns:a16="http://schemas.microsoft.com/office/drawing/2014/main" id="{D81BB94A-8217-4AA8-A904-91D74BA1E9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6150" y="0"/>
          <a:ext cx="2616200" cy="10752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7"/>
  <sheetViews>
    <sheetView tabSelected="1" zoomScale="55" zoomScaleNormal="55" workbookViewId="0">
      <selection activeCell="H15" sqref="H15"/>
    </sheetView>
  </sheetViews>
  <sheetFormatPr defaultColWidth="9.1796875" defaultRowHeight="18" x14ac:dyDescent="0.4"/>
  <cols>
    <col min="1" max="1" width="4.1796875" style="25" customWidth="1"/>
    <col min="2" max="2" width="12.453125" style="25" customWidth="1"/>
    <col min="3" max="3" width="48" style="25" customWidth="1"/>
    <col min="4" max="4" width="13.54296875" style="25" customWidth="1"/>
    <col min="5" max="5" width="17.453125" style="25" customWidth="1"/>
    <col min="6" max="6" width="23.1796875" style="26" customWidth="1"/>
    <col min="7" max="7" width="34.453125" style="26" customWidth="1"/>
    <col min="8" max="8" width="84.1796875" style="25" customWidth="1"/>
    <col min="9" max="16384" width="9.1796875" style="25"/>
  </cols>
  <sheetData>
    <row r="1" spans="1:11" x14ac:dyDescent="0.4">
      <c r="A1" s="57"/>
      <c r="B1" s="57"/>
      <c r="C1" s="57"/>
      <c r="D1" s="41" t="s">
        <v>1</v>
      </c>
      <c r="E1" s="41"/>
      <c r="F1" s="41"/>
      <c r="G1" s="41"/>
    </row>
    <row r="2" spans="1:11" x14ac:dyDescent="0.4">
      <c r="A2" s="57"/>
      <c r="B2" s="57"/>
      <c r="C2" s="57"/>
      <c r="D2" s="53" t="s">
        <v>2</v>
      </c>
      <c r="E2" s="53"/>
      <c r="F2" s="53"/>
      <c r="G2" s="53"/>
    </row>
    <row r="3" spans="1:11" ht="16.5" customHeight="1" x14ac:dyDescent="0.4">
      <c r="A3" s="57"/>
      <c r="B3" s="57"/>
      <c r="C3" s="57"/>
      <c r="D3" s="54" t="s">
        <v>3</v>
      </c>
      <c r="E3" s="54"/>
      <c r="F3" s="54"/>
      <c r="G3" s="54"/>
    </row>
    <row r="4" spans="1:11" ht="24" customHeight="1" x14ac:dyDescent="0.4">
      <c r="A4" s="57"/>
      <c r="B4" s="57"/>
      <c r="C4" s="58"/>
      <c r="D4" s="58"/>
      <c r="E4" s="58"/>
      <c r="F4" s="58"/>
      <c r="G4" s="58"/>
    </row>
    <row r="5" spans="1:11" ht="39.65" customHeight="1" x14ac:dyDescent="0.4">
      <c r="A5" s="59" t="s">
        <v>45</v>
      </c>
      <c r="B5" s="59"/>
      <c r="C5" s="59"/>
      <c r="D5" s="59"/>
      <c r="E5" s="59"/>
      <c r="F5" s="59"/>
      <c r="G5" s="59"/>
      <c r="H5" s="59"/>
    </row>
    <row r="6" spans="1:11" ht="19.5" customHeight="1" x14ac:dyDescent="0.4">
      <c r="A6" s="61" t="s">
        <v>39</v>
      </c>
      <c r="B6" s="61"/>
      <c r="C6" s="61"/>
      <c r="D6" s="61"/>
      <c r="E6" s="61"/>
      <c r="F6" s="61"/>
      <c r="G6" s="61"/>
      <c r="H6" s="61"/>
    </row>
    <row r="7" spans="1:11" ht="21" customHeight="1" x14ac:dyDescent="0.4">
      <c r="B7" s="27"/>
    </row>
    <row r="8" spans="1:11" ht="36" customHeight="1" x14ac:dyDescent="0.4">
      <c r="A8" s="60" t="s">
        <v>40</v>
      </c>
      <c r="B8" s="60"/>
      <c r="C8" s="60"/>
      <c r="D8" s="60"/>
      <c r="E8" s="60"/>
      <c r="F8" s="60"/>
      <c r="G8" s="60"/>
      <c r="H8" s="60"/>
    </row>
    <row r="9" spans="1:11" ht="19.5" customHeight="1" x14ac:dyDescent="0.4">
      <c r="B9" s="28"/>
      <c r="C9" s="28"/>
      <c r="D9" s="28"/>
      <c r="E9" s="28"/>
      <c r="F9" s="28"/>
      <c r="G9" s="28"/>
    </row>
    <row r="10" spans="1:11" ht="12.75" customHeight="1" x14ac:dyDescent="0.4">
      <c r="B10" s="29"/>
      <c r="C10" s="29"/>
      <c r="D10" s="29"/>
      <c r="E10" s="29"/>
      <c r="F10" s="30"/>
      <c r="G10" s="31"/>
    </row>
    <row r="11" spans="1:11" ht="46.5" customHeight="1" x14ac:dyDescent="0.4">
      <c r="B11" s="32" t="s">
        <v>4</v>
      </c>
      <c r="C11" s="32" t="s">
        <v>35</v>
      </c>
      <c r="D11" s="32" t="s">
        <v>6</v>
      </c>
      <c r="E11" s="32" t="s">
        <v>0</v>
      </c>
      <c r="F11" s="32" t="s">
        <v>10</v>
      </c>
      <c r="G11" s="32" t="s">
        <v>7</v>
      </c>
      <c r="H11" s="32" t="s">
        <v>38</v>
      </c>
    </row>
    <row r="12" spans="1:11" ht="20.25" customHeight="1" x14ac:dyDescent="0.4">
      <c r="B12" s="55" t="s">
        <v>12</v>
      </c>
      <c r="C12" s="55"/>
      <c r="D12" s="55"/>
      <c r="E12" s="55"/>
      <c r="F12" s="55"/>
      <c r="G12" s="55"/>
      <c r="H12" s="38"/>
    </row>
    <row r="13" spans="1:11" ht="16.5" customHeight="1" x14ac:dyDescent="0.4">
      <c r="B13" s="56" t="s">
        <v>47</v>
      </c>
      <c r="C13" s="56"/>
      <c r="D13" s="56"/>
      <c r="E13" s="56"/>
      <c r="F13" s="56"/>
      <c r="G13" s="56"/>
      <c r="H13" s="38"/>
    </row>
    <row r="14" spans="1:11" ht="214" customHeight="1" x14ac:dyDescent="0.4">
      <c r="B14" s="33">
        <v>1</v>
      </c>
      <c r="C14" s="24" t="s">
        <v>41</v>
      </c>
      <c r="D14" s="34" t="s">
        <v>42</v>
      </c>
      <c r="E14" s="23">
        <v>11</v>
      </c>
      <c r="F14" s="22">
        <v>215000000</v>
      </c>
      <c r="G14" s="22">
        <f>E14*F14</f>
        <v>2365000000</v>
      </c>
      <c r="H14" s="40" t="s">
        <v>48</v>
      </c>
      <c r="I14" s="25" t="s">
        <v>46</v>
      </c>
      <c r="J14" s="25" t="s">
        <v>46</v>
      </c>
      <c r="K14" s="25" t="s">
        <v>46</v>
      </c>
    </row>
    <row r="15" spans="1:11" ht="233" customHeight="1" x14ac:dyDescent="0.4">
      <c r="B15" s="33">
        <v>2</v>
      </c>
      <c r="C15" s="21" t="s">
        <v>43</v>
      </c>
      <c r="D15" s="34" t="s">
        <v>27</v>
      </c>
      <c r="E15" s="23">
        <v>1</v>
      </c>
      <c r="F15" s="22">
        <v>3025000000</v>
      </c>
      <c r="G15" s="22">
        <f t="shared" ref="G15:G16" si="0">E15*F15</f>
        <v>3025000000</v>
      </c>
      <c r="H15" s="24" t="s">
        <v>49</v>
      </c>
      <c r="K15" s="35"/>
    </row>
    <row r="16" spans="1:11" ht="65.25" customHeight="1" x14ac:dyDescent="0.4">
      <c r="B16" s="33">
        <v>3</v>
      </c>
      <c r="C16" s="21" t="s">
        <v>50</v>
      </c>
      <c r="D16" s="34"/>
      <c r="E16" s="23">
        <v>1</v>
      </c>
      <c r="F16" s="22">
        <v>1650000000</v>
      </c>
      <c r="G16" s="22">
        <f t="shared" si="0"/>
        <v>1650000000</v>
      </c>
      <c r="H16" s="38"/>
      <c r="K16" s="35"/>
    </row>
    <row r="17" spans="2:8" ht="41" customHeight="1" x14ac:dyDescent="0.4">
      <c r="B17" s="52" t="s">
        <v>11</v>
      </c>
      <c r="C17" s="52"/>
      <c r="D17" s="52"/>
      <c r="E17" s="52"/>
      <c r="F17" s="52"/>
      <c r="G17" s="37">
        <f>SUM(G14:G16)</f>
        <v>7040000000</v>
      </c>
      <c r="H17" s="38"/>
    </row>
    <row r="18" spans="2:8" ht="33.75" customHeight="1" x14ac:dyDescent="0.4">
      <c r="B18" s="44" t="s">
        <v>51</v>
      </c>
      <c r="C18" s="44"/>
      <c r="D18" s="44"/>
      <c r="E18" s="44"/>
      <c r="F18" s="44"/>
      <c r="G18" s="44"/>
      <c r="H18" s="38"/>
    </row>
    <row r="19" spans="2:8" ht="21.75" customHeight="1" x14ac:dyDescent="0.4">
      <c r="B19" s="45" t="s">
        <v>36</v>
      </c>
      <c r="C19" s="45"/>
      <c r="D19" s="45"/>
      <c r="E19" s="45"/>
      <c r="F19" s="45"/>
      <c r="G19" s="45"/>
      <c r="H19" s="38"/>
    </row>
    <row r="20" spans="2:8" ht="72" customHeight="1" x14ac:dyDescent="0.4">
      <c r="B20" s="46" t="s">
        <v>37</v>
      </c>
      <c r="C20" s="47"/>
      <c r="D20" s="47"/>
      <c r="E20" s="47"/>
      <c r="F20" s="47"/>
      <c r="G20" s="47"/>
      <c r="H20" s="38"/>
    </row>
    <row r="21" spans="2:8" ht="4.5" customHeight="1" x14ac:dyDescent="0.4">
      <c r="B21" s="50"/>
      <c r="C21" s="50"/>
      <c r="D21" s="50"/>
      <c r="E21" s="50"/>
      <c r="F21" s="50"/>
      <c r="G21" s="50"/>
    </row>
    <row r="22" spans="2:8" ht="33.75" customHeight="1" x14ac:dyDescent="0.4">
      <c r="B22" s="51"/>
      <c r="C22" s="51"/>
      <c r="E22" s="48" t="s">
        <v>44</v>
      </c>
      <c r="F22" s="48"/>
      <c r="G22" s="48"/>
      <c r="H22" s="48"/>
    </row>
    <row r="23" spans="2:8" ht="25.5" customHeight="1" x14ac:dyDescent="0.4">
      <c r="B23" s="42"/>
      <c r="C23" s="43"/>
      <c r="E23" s="49" t="s">
        <v>26</v>
      </c>
      <c r="F23" s="49"/>
      <c r="G23" s="49"/>
      <c r="H23" s="49"/>
    </row>
    <row r="24" spans="2:8" ht="21" customHeight="1" x14ac:dyDescent="0.4">
      <c r="B24" s="42"/>
      <c r="C24" s="43"/>
      <c r="H24" s="36"/>
    </row>
    <row r="27" spans="2:8" x14ac:dyDescent="0.4">
      <c r="G27" s="39"/>
    </row>
  </sheetData>
  <mergeCells count="20">
    <mergeCell ref="B17:F17"/>
    <mergeCell ref="D2:G2"/>
    <mergeCell ref="D3:G3"/>
    <mergeCell ref="B12:G12"/>
    <mergeCell ref="B13:G13"/>
    <mergeCell ref="A1:B4"/>
    <mergeCell ref="C1:C3"/>
    <mergeCell ref="C4:G4"/>
    <mergeCell ref="A5:H5"/>
    <mergeCell ref="A8:H8"/>
    <mergeCell ref="A6:H6"/>
    <mergeCell ref="B24:C24"/>
    <mergeCell ref="B18:G18"/>
    <mergeCell ref="B19:G19"/>
    <mergeCell ref="B20:G20"/>
    <mergeCell ref="E22:H22"/>
    <mergeCell ref="E23:H23"/>
    <mergeCell ref="B21:G21"/>
    <mergeCell ref="B22:C22"/>
    <mergeCell ref="B23:C23"/>
  </mergeCells>
  <pageMargins left="0.25" right="0.25"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7"/>
  <sheetViews>
    <sheetView topLeftCell="A10" zoomScale="87" zoomScaleNormal="87" workbookViewId="0">
      <selection activeCell="G15" sqref="G15:G17"/>
    </sheetView>
  </sheetViews>
  <sheetFormatPr defaultRowHeight="14.5" x14ac:dyDescent="0.35"/>
  <cols>
    <col min="2" max="2" width="4.81640625" customWidth="1"/>
    <col min="3" max="3" width="20.453125" customWidth="1"/>
    <col min="4" max="4" width="10.1796875" customWidth="1"/>
    <col min="5" max="5" width="10.7265625" customWidth="1"/>
    <col min="6" max="6" width="45.81640625" customWidth="1"/>
    <col min="7" max="7" width="14.81640625" style="14" customWidth="1"/>
    <col min="8" max="8" width="18.7265625" style="14" customWidth="1"/>
    <col min="9" max="9" width="18.1796875" style="14" customWidth="1"/>
    <col min="10" max="10" width="27.453125" style="14" customWidth="1"/>
  </cols>
  <sheetData>
    <row r="1" spans="1:10" ht="15.5" x14ac:dyDescent="0.35">
      <c r="A1" s="62"/>
      <c r="B1" s="62"/>
      <c r="C1" s="63"/>
      <c r="D1" s="2"/>
      <c r="E1" s="2"/>
      <c r="F1" s="2"/>
      <c r="G1" s="13"/>
      <c r="H1" s="13"/>
      <c r="I1" s="1" t="s">
        <v>1</v>
      </c>
      <c r="J1" s="13"/>
    </row>
    <row r="2" spans="1:10" ht="15.5" x14ac:dyDescent="0.35">
      <c r="A2" s="62"/>
      <c r="B2" s="62"/>
      <c r="C2" s="63"/>
      <c r="D2" s="2"/>
      <c r="E2" s="2"/>
      <c r="F2" s="2"/>
      <c r="G2" s="13"/>
      <c r="H2" s="13"/>
      <c r="I2" s="3" t="s">
        <v>2</v>
      </c>
      <c r="J2" s="13"/>
    </row>
    <row r="3" spans="1:10" ht="16.5" customHeight="1" x14ac:dyDescent="0.35">
      <c r="A3" s="62"/>
      <c r="B3" s="62"/>
      <c r="C3" s="63"/>
      <c r="D3" s="2"/>
      <c r="E3" s="2"/>
      <c r="F3" s="2"/>
      <c r="G3" s="13"/>
      <c r="H3" s="13"/>
      <c r="I3" s="13" t="s">
        <v>3</v>
      </c>
      <c r="J3" s="13"/>
    </row>
    <row r="4" spans="1:10" ht="24" customHeight="1" x14ac:dyDescent="0.35">
      <c r="A4" s="62"/>
      <c r="B4" s="62"/>
      <c r="C4" s="64" t="s">
        <v>32</v>
      </c>
      <c r="D4" s="64"/>
      <c r="E4" s="64"/>
      <c r="F4" s="64"/>
      <c r="G4" s="64"/>
      <c r="H4" s="64"/>
      <c r="I4" s="64"/>
      <c r="J4" s="64"/>
    </row>
    <row r="5" spans="1:10" ht="15.5" x14ac:dyDescent="0.35">
      <c r="B5" s="4"/>
      <c r="C5" s="2"/>
      <c r="D5" s="2"/>
      <c r="E5" s="2"/>
      <c r="F5" s="2"/>
      <c r="G5" s="13"/>
      <c r="H5" s="13"/>
      <c r="I5" s="13"/>
      <c r="J5" s="13"/>
    </row>
    <row r="6" spans="1:10" ht="39.65" customHeight="1" x14ac:dyDescent="0.35">
      <c r="B6" s="65" t="s">
        <v>23</v>
      </c>
      <c r="C6" s="65"/>
      <c r="D6" s="65"/>
      <c r="E6" s="65"/>
      <c r="F6" s="65"/>
      <c r="G6" s="65"/>
      <c r="H6" s="65"/>
      <c r="I6" s="65"/>
      <c r="J6" s="65"/>
    </row>
    <row r="7" spans="1:10" ht="19.5" customHeight="1" x14ac:dyDescent="0.35">
      <c r="A7" s="61" t="s">
        <v>19</v>
      </c>
      <c r="B7" s="61"/>
      <c r="C7" s="61"/>
      <c r="D7" s="61"/>
      <c r="E7" s="61"/>
      <c r="F7" s="61"/>
      <c r="G7" s="61"/>
      <c r="H7" s="61"/>
      <c r="I7" s="61"/>
      <c r="J7" s="61"/>
    </row>
    <row r="8" spans="1:10" ht="32.5" customHeight="1" x14ac:dyDescent="0.35">
      <c r="B8" s="5"/>
      <c r="C8" s="2"/>
      <c r="D8" s="2"/>
      <c r="E8" s="2"/>
      <c r="F8" s="2"/>
      <c r="G8" s="13"/>
      <c r="H8" s="13"/>
      <c r="I8" s="13"/>
      <c r="J8" s="13"/>
    </row>
    <row r="9" spans="1:10" x14ac:dyDescent="0.35">
      <c r="B9" s="71" t="s">
        <v>20</v>
      </c>
      <c r="C9" s="71"/>
      <c r="D9" s="71"/>
      <c r="E9" s="71"/>
      <c r="F9" s="71"/>
      <c r="G9" s="71"/>
      <c r="H9" s="71"/>
      <c r="I9" s="71"/>
      <c r="J9" s="71"/>
    </row>
    <row r="10" spans="1:10" ht="23.5" customHeight="1" x14ac:dyDescent="0.35">
      <c r="B10" s="71"/>
      <c r="C10" s="71"/>
      <c r="D10" s="71"/>
      <c r="E10" s="71"/>
      <c r="F10" s="71"/>
      <c r="G10" s="71"/>
      <c r="H10" s="71"/>
      <c r="I10" s="71"/>
      <c r="J10" s="71"/>
    </row>
    <row r="11" spans="1:10" ht="23.15" customHeight="1" x14ac:dyDescent="0.35">
      <c r="B11" s="10"/>
      <c r="C11" s="10"/>
      <c r="D11" s="10"/>
      <c r="E11" s="10"/>
      <c r="F11" s="10"/>
      <c r="G11" s="11"/>
      <c r="H11" s="11"/>
      <c r="I11" s="70" t="s">
        <v>16</v>
      </c>
      <c r="J11" s="70"/>
    </row>
    <row r="12" spans="1:10" ht="46.5" customHeight="1" x14ac:dyDescent="0.35">
      <c r="B12" s="16" t="s">
        <v>4</v>
      </c>
      <c r="C12" s="16" t="s">
        <v>5</v>
      </c>
      <c r="D12" s="16" t="s">
        <v>6</v>
      </c>
      <c r="E12" s="16" t="s">
        <v>0</v>
      </c>
      <c r="F12" s="16" t="s">
        <v>17</v>
      </c>
      <c r="G12" s="16" t="s">
        <v>10</v>
      </c>
      <c r="H12" s="16" t="s">
        <v>7</v>
      </c>
      <c r="I12" s="16" t="s">
        <v>9</v>
      </c>
      <c r="J12" s="16" t="s">
        <v>8</v>
      </c>
    </row>
    <row r="13" spans="1:10" ht="20.25" customHeight="1" x14ac:dyDescent="0.35">
      <c r="B13" s="68" t="s">
        <v>12</v>
      </c>
      <c r="C13" s="68"/>
      <c r="D13" s="68"/>
      <c r="E13" s="68"/>
      <c r="F13" s="68"/>
      <c r="G13" s="68"/>
      <c r="H13" s="68"/>
      <c r="I13" s="68"/>
      <c r="J13" s="68"/>
    </row>
    <row r="14" spans="1:10" ht="16.5" customHeight="1" x14ac:dyDescent="0.35">
      <c r="B14" s="69" t="s">
        <v>22</v>
      </c>
      <c r="C14" s="69"/>
      <c r="D14" s="69"/>
      <c r="E14" s="69"/>
      <c r="F14" s="69"/>
      <c r="G14" s="69"/>
      <c r="H14" s="69"/>
      <c r="I14" s="69"/>
      <c r="J14" s="69"/>
    </row>
    <row r="15" spans="1:10" ht="14.5" customHeight="1" x14ac:dyDescent="0.35">
      <c r="B15" s="76">
        <v>1</v>
      </c>
      <c r="C15" s="76" t="s">
        <v>28</v>
      </c>
      <c r="D15" s="76" t="s">
        <v>24</v>
      </c>
      <c r="E15" s="76">
        <v>24</v>
      </c>
      <c r="F15" s="79" t="s">
        <v>33</v>
      </c>
      <c r="G15" s="72">
        <v>13568100</v>
      </c>
      <c r="H15" s="72">
        <f>G15*E15</f>
        <v>325634400</v>
      </c>
      <c r="I15" s="72">
        <f>H15*0.1</f>
        <v>32563440</v>
      </c>
      <c r="J15" s="72">
        <f>H15+I15</f>
        <v>358197840</v>
      </c>
    </row>
    <row r="16" spans="1:10" x14ac:dyDescent="0.35">
      <c r="B16" s="77"/>
      <c r="C16" s="77"/>
      <c r="D16" s="77"/>
      <c r="E16" s="77"/>
      <c r="F16" s="80"/>
      <c r="G16" s="73"/>
      <c r="H16" s="73"/>
      <c r="I16" s="73"/>
      <c r="J16" s="73"/>
    </row>
    <row r="17" spans="2:11" ht="139.5" customHeight="1" x14ac:dyDescent="0.35">
      <c r="B17" s="78"/>
      <c r="C17" s="78"/>
      <c r="D17" s="78"/>
      <c r="E17" s="78"/>
      <c r="F17" s="81"/>
      <c r="G17" s="74"/>
      <c r="H17" s="74"/>
      <c r="I17" s="74"/>
      <c r="J17" s="74"/>
    </row>
    <row r="18" spans="2:11" ht="61.5" customHeight="1" x14ac:dyDescent="0.35">
      <c r="B18" s="17">
        <v>2</v>
      </c>
      <c r="C18" s="17" t="s">
        <v>29</v>
      </c>
      <c r="D18" s="17" t="s">
        <v>30</v>
      </c>
      <c r="E18" s="17">
        <v>1</v>
      </c>
      <c r="F18" s="19" t="s">
        <v>31</v>
      </c>
      <c r="G18" s="18">
        <v>30000000</v>
      </c>
      <c r="H18" s="18">
        <f>G18*E18</f>
        <v>30000000</v>
      </c>
      <c r="I18" s="20">
        <f>H18*0.1</f>
        <v>3000000</v>
      </c>
      <c r="J18" s="18">
        <f>H18+I18</f>
        <v>33000000</v>
      </c>
    </row>
    <row r="19" spans="2:11" ht="15" customHeight="1" x14ac:dyDescent="0.35">
      <c r="B19" s="75" t="s">
        <v>18</v>
      </c>
      <c r="C19" s="75"/>
      <c r="D19" s="75"/>
      <c r="E19" s="75"/>
      <c r="F19" s="75"/>
      <c r="G19" s="75"/>
      <c r="H19" s="75"/>
      <c r="I19" s="75"/>
      <c r="J19" s="75"/>
    </row>
    <row r="20" spans="2:11" ht="21.65" customHeight="1" x14ac:dyDescent="0.35">
      <c r="B20" s="66" t="s">
        <v>11</v>
      </c>
      <c r="C20" s="67"/>
      <c r="D20" s="7"/>
      <c r="E20" s="7"/>
      <c r="F20" s="7"/>
      <c r="G20" s="6"/>
      <c r="H20" s="6"/>
      <c r="I20" s="6"/>
      <c r="J20" s="12">
        <f>J15+J18</f>
        <v>391197840</v>
      </c>
    </row>
    <row r="21" spans="2:11" ht="16.5" customHeight="1" x14ac:dyDescent="0.35">
      <c r="B21" s="84" t="s">
        <v>34</v>
      </c>
      <c r="C21" s="84"/>
      <c r="D21" s="84"/>
      <c r="E21" s="84"/>
      <c r="F21" s="84"/>
      <c r="G21" s="84"/>
      <c r="H21" s="84"/>
      <c r="I21" s="84"/>
      <c r="J21" s="84"/>
    </row>
    <row r="22" spans="2:11" ht="17.25" customHeight="1" x14ac:dyDescent="0.35">
      <c r="B22" s="85" t="s">
        <v>13</v>
      </c>
      <c r="C22" s="85"/>
      <c r="D22" s="85"/>
      <c r="E22" s="85"/>
      <c r="F22" s="85"/>
      <c r="G22" s="85"/>
      <c r="H22" s="85"/>
      <c r="I22" s="85"/>
      <c r="J22" s="85"/>
    </row>
    <row r="23" spans="2:11" ht="131.5" customHeight="1" x14ac:dyDescent="0.35">
      <c r="B23" s="86" t="s">
        <v>25</v>
      </c>
      <c r="C23" s="86"/>
      <c r="D23" s="86"/>
      <c r="E23" s="86"/>
      <c r="F23" s="86"/>
      <c r="G23" s="86"/>
      <c r="H23" s="86"/>
      <c r="I23" s="86"/>
      <c r="J23" s="86"/>
    </row>
    <row r="24" spans="2:11" ht="19.5" customHeight="1" x14ac:dyDescent="0.35">
      <c r="B24" s="87"/>
      <c r="C24" s="87"/>
      <c r="D24" s="87"/>
      <c r="E24" s="87"/>
      <c r="F24" s="87"/>
      <c r="G24" s="87"/>
      <c r="H24" s="87"/>
      <c r="I24" s="87"/>
      <c r="J24" s="87"/>
    </row>
    <row r="25" spans="2:11" ht="22" customHeight="1" x14ac:dyDescent="0.35">
      <c r="B25" s="88" t="s">
        <v>14</v>
      </c>
      <c r="C25" s="88"/>
      <c r="H25" s="9"/>
      <c r="I25" s="9"/>
      <c r="J25" s="9"/>
    </row>
    <row r="26" spans="2:11" ht="21" customHeight="1" x14ac:dyDescent="0.35">
      <c r="B26" s="82" t="s">
        <v>15</v>
      </c>
      <c r="C26" s="83"/>
      <c r="G26" s="15"/>
      <c r="H26" s="9" t="s">
        <v>26</v>
      </c>
      <c r="I26" s="9"/>
      <c r="J26" s="9"/>
    </row>
    <row r="27" spans="2:11" ht="13.5" customHeight="1" x14ac:dyDescent="0.35">
      <c r="B27" s="82" t="s">
        <v>21</v>
      </c>
      <c r="C27" s="83"/>
      <c r="H27" s="9"/>
      <c r="K27" s="8"/>
    </row>
  </sheetData>
  <mergeCells count="27">
    <mergeCell ref="B27:C27"/>
    <mergeCell ref="B21:J21"/>
    <mergeCell ref="B22:J22"/>
    <mergeCell ref="B23:J23"/>
    <mergeCell ref="B24:J24"/>
    <mergeCell ref="B25:C25"/>
    <mergeCell ref="B26:C26"/>
    <mergeCell ref="B20:C20"/>
    <mergeCell ref="B13:J13"/>
    <mergeCell ref="B14:J14"/>
    <mergeCell ref="I11:J11"/>
    <mergeCell ref="B9:J10"/>
    <mergeCell ref="J15:J17"/>
    <mergeCell ref="I15:I17"/>
    <mergeCell ref="H15:H17"/>
    <mergeCell ref="G15:G17"/>
    <mergeCell ref="B19:J19"/>
    <mergeCell ref="E15:E17"/>
    <mergeCell ref="D15:D17"/>
    <mergeCell ref="C15:C17"/>
    <mergeCell ref="B15:B17"/>
    <mergeCell ref="F15:F17"/>
    <mergeCell ref="A1:B4"/>
    <mergeCell ref="C1:C3"/>
    <mergeCell ref="C4:J4"/>
    <mergeCell ref="B6:J6"/>
    <mergeCell ref="A7:J7"/>
  </mergeCells>
  <pageMargins left="0.25" right="0.25" top="0.75" bottom="0.75" header="0.3" footer="0.3"/>
  <pageSetup scale="5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Báo giá VLP MBS</vt:lpstr>
      <vt:lpstr>báo giá cho thuê 24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TIEPDV</cp:lastModifiedBy>
  <cp:lastPrinted>2022-06-28T07:56:01Z</cp:lastPrinted>
  <dcterms:created xsi:type="dcterms:W3CDTF">2021-05-14T03:12:07Z</dcterms:created>
  <dcterms:modified xsi:type="dcterms:W3CDTF">2025-10-20T03:32:51Z</dcterms:modified>
</cp:coreProperties>
</file>